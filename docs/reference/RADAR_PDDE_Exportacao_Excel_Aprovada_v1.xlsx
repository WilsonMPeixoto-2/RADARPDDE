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BONIFICACOES" sheetId="1" r:id="R1fd4c5e8adf340da"/>
    <x:sheet xmlns:r="http://schemas.openxmlformats.org/officeDocument/2006/relationships" name="SINTESE" sheetId="2" r:id="R6c62789af845409e"/>
    <x:sheet xmlns:r="http://schemas.openxmlformats.org/officeDocument/2006/relationships" name="QUALIDADE_DADOS" sheetId="3" r:id="Rbd67163536404fdd"/>
    <x:sheet xmlns:r="http://schemas.openxmlformats.org/officeDocument/2006/relationships" name="METADADOS" sheetId="4" r:id="R84233c4625b8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"/>
    <x:numFmt numFmtId="201" formatCode="@"/>
    <x:numFmt numFmtId="202" formatCode="0.0%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447"/>
      <x:name val="Carlito"/>
    </x:font>
    <x:font>
      <x:b/>
      <x:sz val="9"/>
      <x:color rgb="FF17324D"/>
      <x:name val="Carlito"/>
    </x:font>
    <x:font>
      <x:sz val="10"/>
      <x:color rgb="FF243447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i/>
      <x:sz val="11"/>
      <x:color rgb="FF243447"/>
      <x:name val="Carlito"/>
    </x:font>
    <x:font>
      <x:b/>
      <x:sz val="11"/>
      <x:color rgb="FF17324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  <x:fill>
      <x:patternFill patternType="solid">
        <x:fgColor rgb="FFDFE8F0"/>
      </x:patternFill>
    </x:fill>
    <x:fill>
      <x:patternFill patternType="solid">
        <x:fgColor rgb="FFFFFFFF"/>
      </x:patternFill>
    </x:fill>
    <x:fill>
      <x:patternFill patternType="solid">
        <x:fgColor rgb="FF2F6FA5"/>
      </x:patternFill>
    </x:fill>
    <x:fill>
      <x:patternFill patternType="solid">
        <x:fgColor rgb="FFF4F7FA"/>
      </x:patternFill>
    </x:fill>
    <x:fill>
      <x:patternFill patternType="solid">
        <x:fgColor rgb="FF287B78"/>
      </x:patternFill>
    </x:fill>
    <x:fill>
      <x:patternFill patternType="solid">
        <x:fgColor rgb="FFB43A3A"/>
      </x:patternFill>
    </x:fill>
    <x:fill>
      <x:patternFill patternType="solid">
        <x:fgColor rgb="FF6658A6"/>
      </x:patternFill>
    </x:fill>
  </x:fills>
  <x:borders count="42">
    <x:border/>
    <x:border/>
    <x:border>
      <x:bottom style="thin">
        <x:color rgb="FFD8DEE6"/>
      </x:bottom>
    </x:border>
    <x:border>
      <x:bottom style="thin">
        <x:color rgb="FFD8DEE6"/>
      </x:bottom>
    </x:border>
    <x:border>
      <x:left style="thin">
        <x:color rgb="FFFFFFFF"/>
      </x:left>
      <x:bottom style="thin">
        <x:color rgb="FF17324D"/>
      </x:bottom>
    </x:border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2F6FA5"/>
      </x:left>
      <x:top style="thin">
        <x:color rgb="FF2F6FA5"/>
      </x:top>
    </x:border>
    <x:border>
      <x:right style="thin">
        <x:color rgb="FF2F6FA5"/>
      </x:right>
      <x:top style="thin">
        <x:color rgb="FF2F6FA5"/>
      </x:top>
    </x:border>
    <x:border>
      <x:left style="thin">
        <x:color rgb="FF2F6FA5"/>
      </x:left>
      <x:bottom style="thin">
        <x:color rgb="FF2F6FA5"/>
      </x:bottom>
    </x:border>
    <x:border>
      <x:right style="thin">
        <x:color rgb="FF2F6FA5"/>
      </x:right>
      <x:bottom style="thin">
        <x:color rgb="FF2F6FA5"/>
      </x:bottom>
    </x:border>
    <x:border>
      <x:left style="thin">
        <x:color rgb="FF2F6FA5"/>
      </x:left>
      <x:top style="thin">
        <x:color rgb="FF2F6FA5"/>
      </x:top>
    </x:border>
    <x:border>
      <x:right style="thin">
        <x:color rgb="FF2F6FA5"/>
      </x:right>
      <x:top style="thin">
        <x:color rgb="FF2F6FA5"/>
      </x:top>
    </x:border>
    <x:border>
      <x:left style="thin">
        <x:color rgb="FF2F6FA5"/>
      </x:left>
      <x:bottom style="thin">
        <x:color rgb="FF2F6FA5"/>
      </x:bottom>
    </x:border>
    <x:border>
      <x:right style="thin">
        <x:color rgb="FF2F6FA5"/>
      </x:right>
      <x:bottom style="thin">
        <x:color rgb="FF2F6FA5"/>
      </x:bottom>
    </x:border>
    <x:border>
      <x:left style="thin">
        <x:color rgb="FF287B78"/>
      </x:left>
      <x:top style="thin">
        <x:color rgb="FF287B78"/>
      </x:top>
    </x:border>
    <x:border>
      <x:right style="thin">
        <x:color rgb="FF287B78"/>
      </x:right>
      <x:top style="thin">
        <x:color rgb="FF287B78"/>
      </x:top>
    </x:border>
    <x:border>
      <x:left style="thin">
        <x:color rgb="FF287B78"/>
      </x:left>
      <x:bottom style="thin">
        <x:color rgb="FF287B78"/>
      </x:bottom>
    </x:border>
    <x:border>
      <x:right style="thin">
        <x:color rgb="FF287B78"/>
      </x:right>
      <x:bottom style="thin">
        <x:color rgb="FF287B78"/>
      </x:bottom>
    </x:border>
    <x:border>
      <x:left style="thin">
        <x:color rgb="FF287B78"/>
      </x:left>
      <x:top style="thin">
        <x:color rgb="FF287B78"/>
      </x:top>
    </x:border>
    <x:border>
      <x:right style="thin">
        <x:color rgb="FF287B78"/>
      </x:right>
      <x:top style="thin">
        <x:color rgb="FF287B78"/>
      </x:top>
    </x:border>
    <x:border>
      <x:left style="thin">
        <x:color rgb="FF287B78"/>
      </x:left>
      <x:bottom style="thin">
        <x:color rgb="FF287B78"/>
      </x:bottom>
    </x:border>
    <x:border>
      <x:right style="thin">
        <x:color rgb="FF287B78"/>
      </x:right>
      <x:bottom style="thin">
        <x:color rgb="FF287B78"/>
      </x:bottom>
    </x:border>
    <x:border>
      <x:left style="thin">
        <x:color rgb="FFB43A3A"/>
      </x:left>
      <x:top style="thin">
        <x:color rgb="FFB43A3A"/>
      </x:top>
    </x:border>
    <x:border>
      <x:right style="thin">
        <x:color rgb="FFB43A3A"/>
      </x:right>
      <x:top style="thin">
        <x:color rgb="FFB43A3A"/>
      </x:top>
    </x:border>
    <x:border>
      <x:left style="thin">
        <x:color rgb="FFB43A3A"/>
      </x:left>
      <x:bottom style="thin">
        <x:color rgb="FFB43A3A"/>
      </x:bottom>
    </x:border>
    <x:border>
      <x:right style="thin">
        <x:color rgb="FFB43A3A"/>
      </x:right>
      <x:bottom style="thin">
        <x:color rgb="FFB43A3A"/>
      </x:bottom>
    </x:border>
    <x:border>
      <x:left style="thin">
        <x:color rgb="FFB43A3A"/>
      </x:left>
      <x:top style="thin">
        <x:color rgb="FFB43A3A"/>
      </x:top>
    </x:border>
    <x:border>
      <x:right style="thin">
        <x:color rgb="FFB43A3A"/>
      </x:right>
      <x:top style="thin">
        <x:color rgb="FFB43A3A"/>
      </x:top>
    </x:border>
    <x:border>
      <x:left style="thin">
        <x:color rgb="FFB43A3A"/>
      </x:left>
      <x:bottom style="thin">
        <x:color rgb="FFB43A3A"/>
      </x:bottom>
    </x:border>
    <x:border>
      <x:right style="thin">
        <x:color rgb="FFB43A3A"/>
      </x:right>
      <x:bottom style="thin">
        <x:color rgb="FFB43A3A"/>
      </x:bottom>
    </x:border>
    <x:border>
      <x:left style="thin">
        <x:color rgb="FF6658A6"/>
      </x:left>
      <x:top style="thin">
        <x:color rgb="FF6658A6"/>
      </x:top>
    </x:border>
    <x:border>
      <x:right style="thin">
        <x:color rgb="FF6658A6"/>
      </x:right>
      <x:top style="thin">
        <x:color rgb="FF6658A6"/>
      </x:top>
    </x:border>
    <x:border>
      <x:left style="thin">
        <x:color rgb="FF6658A6"/>
      </x:left>
      <x:bottom style="thin">
        <x:color rgb="FF6658A6"/>
      </x:bottom>
    </x:border>
    <x:border>
      <x:right style="thin">
        <x:color rgb="FF6658A6"/>
      </x:right>
      <x:bottom style="thin">
        <x:color rgb="FF6658A6"/>
      </x:bottom>
    </x:border>
    <x:border>
      <x:left style="thin">
        <x:color rgb="FF6658A6"/>
      </x:left>
      <x:top style="thin">
        <x:color rgb="FF6658A6"/>
      </x:top>
    </x:border>
    <x:border>
      <x:right style="thin">
        <x:color rgb="FF6658A6"/>
      </x:right>
      <x:top style="thin">
        <x:color rgb="FF6658A6"/>
      </x:top>
    </x:border>
    <x:border>
      <x:left style="thin">
        <x:color rgb="FF6658A6"/>
      </x:left>
      <x:bottom style="thin">
        <x:color rgb="FF6658A6"/>
      </x:bottom>
    </x:border>
    <x:border>
      <x:right style="thin">
        <x:color rgb="FF6658A6"/>
      </x:right>
      <x:bottom style="thin">
        <x:color rgb="FF6658A6"/>
      </x:bottom>
    </x:border>
  </x:borders>
  <x:cellStyleXfs count="1">
    <x:xf numFmtId="0" fontId="0" fillId="0" borderId="0"/>
  </x:cellStyleXfs>
  <x:cellXfs count="2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7" borderId="0" xfId="0" applyNumberFormat="1" applyFont="1" applyFill="1" applyBorder="1" applyAlignment="1">
      <x:alignment vertical="center" wrapText="1"/>
    </x:xf>
    <x:xf numFmtId="201" fontId="6" fillId="7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1" fontId="6" fillId="7" borderId="1" xfId="0" applyNumberFormat="1" applyFont="1" applyFill="1" applyBorder="1" applyAlignment="1">
      <x:alignment vertical="center" wrapText="1"/>
    </x:xf>
    <x:xf numFmtId="201" fontId="6" fillId="7" borderId="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0" xfId="0" applyNumberFormat="1" applyFont="1" applyFill="1" applyBorder="1" applyAlignment="1">
      <x:alignment horizontal="center"/>
    </x:xf>
    <x:xf numFmtId="0" fontId="8" fillId="6" borderId="11" xfId="0" applyNumberFormat="1" applyFont="1" applyFill="1" applyBorder="1" applyAlignment="1">
      <x:alignment horizontal="center"/>
    </x:xf>
    <x:xf numFmtId="0" fontId="8" fillId="6" borderId="12" xfId="0" applyNumberFormat="1" applyFont="1" applyFill="1" applyBorder="1" applyAlignment="1">
      <x:alignment horizontal="center"/>
    </x:xf>
    <x:xf numFmtId="0" fontId="8" fillId="6" borderId="13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 vertical="center"/>
    </x:xf>
    <x:xf numFmtId="0" fontId="8" fillId="6" borderId="11" xfId="0" applyNumberFormat="1" applyFont="1" applyFill="1" applyBorder="1" applyAlignment="1">
      <x:alignment horizontal="center" vertical="center"/>
    </x:xf>
    <x:xf numFmtId="0" fontId="8" fillId="6" borderId="12" xfId="0" applyNumberFormat="1" applyFont="1" applyFill="1" applyBorder="1" applyAlignment="1">
      <x:alignment horizontal="center" vertical="center"/>
    </x:xf>
    <x:xf numFmtId="0" fontId="8" fillId="6" borderId="13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4" xfId="0" applyNumberFormat="1" applyFont="1" applyFill="1" applyBorder="1" applyAlignment="1">
      <x:alignment horizontal="center"/>
    </x:xf>
    <x:xf numFmtId="0" fontId="8" fillId="6" borderId="15" xfId="0" applyNumberFormat="1" applyFont="1" applyFill="1" applyBorder="1" applyAlignment="1">
      <x:alignment horizontal="center"/>
    </x:xf>
    <x:xf numFmtId="0" fontId="8" fillId="6" borderId="16" xfId="0" applyNumberFormat="1" applyFont="1" applyFill="1" applyBorder="1" applyAlignment="1">
      <x:alignment horizontal="center"/>
    </x:xf>
    <x:xf numFmtId="0" fontId="8" fillId="6" borderId="17" xfId="0" applyNumberFormat="1" applyFont="1" applyFill="1" applyBorder="1" applyAlignment="1">
      <x:alignment horizontal="center"/>
    </x:xf>
    <x:xf numFmtId="0" fontId="8" fillId="6" borderId="14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horizontal="center" vertical="center"/>
    </x:xf>
    <x:xf numFmtId="0" fontId="8" fillId="6" borderId="16" xfId="0" applyNumberFormat="1" applyFont="1" applyFill="1" applyBorder="1" applyAlignment="1">
      <x:alignment horizontal="center" vertical="center"/>
    </x:xf>
    <x:xf numFmtId="0" fontId="8" fillId="6" borderId="17" xfId="0" applyNumberFormat="1" applyFont="1" applyFill="1" applyBorder="1" applyAlignment="1">
      <x:alignment horizontal="center" vertical="center"/>
    </x:xf>
    <x:xf numFmtId="0" fontId="7" fillId="6" borderId="12" xfId="0" applyNumberFormat="1" applyFont="1" applyFill="1" applyBorder="1" applyAlignment="1">
      <x:alignment horizontal="center" vertical="center"/>
    </x:xf>
    <x:xf numFmtId="0" fontId="7" fillId="6" borderId="1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8" xfId="0" applyNumberFormat="1" applyFont="1" applyFill="1" applyBorder="1"/>
    <x:xf numFmtId="0" fontId="8" fillId="8" borderId="19" xfId="0" applyNumberFormat="1" applyFont="1" applyFill="1" applyBorder="1"/>
    <x:xf numFmtId="0" fontId="8" fillId="8" borderId="20" xfId="0" applyNumberFormat="1" applyFont="1" applyFill="1" applyBorder="1"/>
    <x:xf numFmtId="0" fontId="8" fillId="8" borderId="21" xfId="0" applyNumberFormat="1" applyFont="1" applyFill="1" applyBorder="1"/>
    <x:xf numFmtId="0" fontId="8" fillId="8" borderId="18" xfId="0" applyNumberFormat="1" applyFont="1" applyFill="1" applyBorder="1" applyAlignment="1">
      <x:alignment horizontal="center"/>
    </x:xf>
    <x:xf numFmtId="0" fontId="8" fillId="8" borderId="19" xfId="0" applyNumberFormat="1" applyFont="1" applyFill="1" applyBorder="1" applyAlignment="1">
      <x:alignment horizontal="center"/>
    </x:xf>
    <x:xf numFmtId="0" fontId="8" fillId="8" borderId="20" xfId="0" applyNumberFormat="1" applyFont="1" applyFill="1" applyBorder="1" applyAlignment="1">
      <x:alignment horizontal="center"/>
    </x:xf>
    <x:xf numFmtId="0" fontId="8" fillId="8" borderId="21" xfId="0" applyNumberFormat="1" applyFont="1" applyFill="1" applyBorder="1" applyAlignment="1">
      <x:alignment horizontal="center"/>
    </x:xf>
    <x:xf numFmtId="0" fontId="8" fillId="8" borderId="18" xfId="0" applyNumberFormat="1" applyFont="1" applyFill="1" applyBorder="1" applyAlignment="1">
      <x:alignment horizontal="center" vertical="center"/>
    </x:xf>
    <x:xf numFmtId="0" fontId="8" fillId="8" borderId="19" xfId="0" applyNumberFormat="1" applyFont="1" applyFill="1" applyBorder="1" applyAlignment="1">
      <x:alignment horizontal="center" vertical="center"/>
    </x:xf>
    <x:xf numFmtId="0" fontId="8" fillId="8" borderId="20" xfId="0" applyNumberFormat="1" applyFont="1" applyFill="1" applyBorder="1" applyAlignment="1">
      <x:alignment horizontal="center" vertical="center"/>
    </x:xf>
    <x:xf numFmtId="0" fontId="8" fillId="8" borderId="2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2" xfId="0" applyNumberFormat="1" applyFont="1" applyFill="1" applyBorder="1" applyAlignment="1">
      <x:alignment horizontal="center"/>
    </x:xf>
    <x:xf numFmtId="0" fontId="8" fillId="8" borderId="23" xfId="0" applyNumberFormat="1" applyFont="1" applyFill="1" applyBorder="1" applyAlignment="1">
      <x:alignment horizontal="center"/>
    </x:xf>
    <x:xf numFmtId="0" fontId="8" fillId="8" borderId="24" xfId="0" applyNumberFormat="1" applyFont="1" applyFill="1" applyBorder="1" applyAlignment="1">
      <x:alignment horizontal="center"/>
    </x:xf>
    <x:xf numFmtId="0" fontId="8" fillId="8" borderId="25" xfId="0" applyNumberFormat="1" applyFont="1" applyFill="1" applyBorder="1" applyAlignment="1">
      <x:alignment horizontal="center"/>
    </x:xf>
    <x:xf numFmtId="0" fontId="8" fillId="8" borderId="22" xfId="0" applyNumberFormat="1" applyFont="1" applyFill="1" applyBorder="1" applyAlignment="1">
      <x:alignment horizontal="center" vertical="center"/>
    </x:xf>
    <x:xf numFmtId="0" fontId="8" fillId="8" borderId="23" xfId="0" applyNumberFormat="1" applyFont="1" applyFill="1" applyBorder="1" applyAlignment="1">
      <x:alignment horizontal="center" vertical="center"/>
    </x:xf>
    <x:xf numFmtId="0" fontId="8" fillId="8" borderId="24" xfId="0" applyNumberFormat="1" applyFont="1" applyFill="1" applyBorder="1" applyAlignment="1">
      <x:alignment horizontal="center" vertical="center"/>
    </x:xf>
    <x:xf numFmtId="0" fontId="8" fillId="8" borderId="25" xfId="0" applyNumberFormat="1" applyFont="1" applyFill="1" applyBorder="1" applyAlignment="1">
      <x:alignment horizontal="center" vertical="center"/>
    </x:xf>
    <x:xf numFmtId="0" fontId="7" fillId="8" borderId="20" xfId="0" applyNumberFormat="1" applyFont="1" applyFill="1" applyBorder="1" applyAlignment="1">
      <x:alignment horizontal="center" vertical="center"/>
    </x:xf>
    <x:xf numFmtId="0" fontId="7" fillId="8" borderId="2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6" xfId="0" applyNumberFormat="1" applyFont="1" applyFill="1" applyBorder="1"/>
    <x:xf numFmtId="0" fontId="8" fillId="9" borderId="27" xfId="0" applyNumberFormat="1" applyFont="1" applyFill="1" applyBorder="1"/>
    <x:xf numFmtId="0" fontId="8" fillId="9" borderId="28" xfId="0" applyNumberFormat="1" applyFont="1" applyFill="1" applyBorder="1"/>
    <x:xf numFmtId="0" fontId="8" fillId="9" borderId="29" xfId="0" applyNumberFormat="1" applyFont="1" applyFill="1" applyBorder="1"/>
    <x:xf numFmtId="0" fontId="8" fillId="9" borderId="26" xfId="0" applyNumberFormat="1" applyFont="1" applyFill="1" applyBorder="1" applyAlignment="1">
      <x:alignment horizontal="center"/>
    </x:xf>
    <x:xf numFmtId="0" fontId="8" fillId="9" borderId="27" xfId="0" applyNumberFormat="1" applyFont="1" applyFill="1" applyBorder="1" applyAlignment="1">
      <x:alignment horizontal="center"/>
    </x:xf>
    <x:xf numFmtId="0" fontId="8" fillId="9" borderId="28" xfId="0" applyNumberFormat="1" applyFont="1" applyFill="1" applyBorder="1" applyAlignment="1">
      <x:alignment horizontal="center"/>
    </x:xf>
    <x:xf numFmtId="0" fontId="8" fillId="9" borderId="29" xfId="0" applyNumberFormat="1" applyFont="1" applyFill="1" applyBorder="1" applyAlignment="1">
      <x:alignment horizontal="center"/>
    </x:xf>
    <x:xf numFmtId="0" fontId="8" fillId="9" borderId="26" xfId="0" applyNumberFormat="1" applyFont="1" applyFill="1" applyBorder="1" applyAlignment="1">
      <x:alignment horizontal="center" vertical="center"/>
    </x:xf>
    <x:xf numFmtId="0" fontId="8" fillId="9" borderId="27" xfId="0" applyNumberFormat="1" applyFont="1" applyFill="1" applyBorder="1" applyAlignment="1">
      <x:alignment horizontal="center" vertical="center"/>
    </x:xf>
    <x:xf numFmtId="0" fontId="8" fillId="9" borderId="28" xfId="0" applyNumberFormat="1" applyFont="1" applyFill="1" applyBorder="1" applyAlignment="1">
      <x:alignment horizontal="center" vertical="center"/>
    </x:xf>
    <x:xf numFmtId="0" fontId="8" fillId="9" borderId="29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30" xfId="0" applyNumberFormat="1" applyFont="1" applyFill="1" applyBorder="1"/>
    <x:xf numFmtId="0" fontId="8" fillId="9" borderId="31" xfId="0" applyNumberFormat="1" applyFont="1" applyFill="1" applyBorder="1"/>
    <x:xf numFmtId="0" fontId="8" fillId="9" borderId="32" xfId="0" applyNumberFormat="1" applyFont="1" applyFill="1" applyBorder="1"/>
    <x:xf numFmtId="0" fontId="8" fillId="9" borderId="33" xfId="0" applyNumberFormat="1" applyFont="1" applyFill="1" applyBorder="1"/>
    <x:xf numFmtId="0" fontId="8" fillId="9" borderId="30" xfId="0" applyNumberFormat="1" applyFont="1" applyFill="1" applyBorder="1" applyAlignment="1">
      <x:alignment horizontal="center"/>
    </x:xf>
    <x:xf numFmtId="0" fontId="8" fillId="9" borderId="31" xfId="0" applyNumberFormat="1" applyFont="1" applyFill="1" applyBorder="1" applyAlignment="1">
      <x:alignment horizontal="center"/>
    </x:xf>
    <x:xf numFmtId="0" fontId="8" fillId="9" borderId="32" xfId="0" applyNumberFormat="1" applyFont="1" applyFill="1" applyBorder="1" applyAlignment="1">
      <x:alignment horizontal="center"/>
    </x:xf>
    <x:xf numFmtId="0" fontId="8" fillId="9" borderId="33" xfId="0" applyNumberFormat="1" applyFont="1" applyFill="1" applyBorder="1" applyAlignment="1">
      <x:alignment horizontal="center"/>
    </x:xf>
    <x:xf numFmtId="0" fontId="8" fillId="9" borderId="30" xfId="0" applyNumberFormat="1" applyFont="1" applyFill="1" applyBorder="1" applyAlignment="1">
      <x:alignment horizontal="center" vertical="center"/>
    </x:xf>
    <x:xf numFmtId="0" fontId="8" fillId="9" borderId="31" xfId="0" applyNumberFormat="1" applyFont="1" applyFill="1" applyBorder="1" applyAlignment="1">
      <x:alignment horizontal="center" vertical="center"/>
    </x:xf>
    <x:xf numFmtId="0" fontId="8" fillId="9" borderId="32" xfId="0" applyNumberFormat="1" applyFont="1" applyFill="1" applyBorder="1" applyAlignment="1">
      <x:alignment horizontal="center" vertical="center"/>
    </x:xf>
    <x:xf numFmtId="0" fontId="8" fillId="9" borderId="33" xfId="0" applyNumberFormat="1" applyFont="1" applyFill="1" applyBorder="1" applyAlignment="1">
      <x:alignment horizontal="center" vertical="center"/>
    </x:xf>
    <x:xf numFmtId="0" fontId="7" fillId="9" borderId="28" xfId="0" applyNumberFormat="1" applyFont="1" applyFill="1" applyBorder="1" applyAlignment="1">
      <x:alignment horizontal="center" vertical="center"/>
    </x:xf>
    <x:xf numFmtId="0" fontId="7" fillId="9" borderId="32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34" xfId="0" applyNumberFormat="1" applyFont="1" applyFill="1" applyBorder="1"/>
    <x:xf numFmtId="0" fontId="8" fillId="10" borderId="35" xfId="0" applyNumberFormat="1" applyFont="1" applyFill="1" applyBorder="1"/>
    <x:xf numFmtId="0" fontId="8" fillId="10" borderId="36" xfId="0" applyNumberFormat="1" applyFont="1" applyFill="1" applyBorder="1"/>
    <x:xf numFmtId="0" fontId="8" fillId="10" borderId="37" xfId="0" applyNumberFormat="1" applyFont="1" applyFill="1" applyBorder="1"/>
    <x:xf numFmtId="0" fontId="8" fillId="10" borderId="34" xfId="0" applyNumberFormat="1" applyFont="1" applyFill="1" applyBorder="1" applyAlignment="1">
      <x:alignment horizontal="center"/>
    </x:xf>
    <x:xf numFmtId="0" fontId="8" fillId="10" borderId="35" xfId="0" applyNumberFormat="1" applyFont="1" applyFill="1" applyBorder="1" applyAlignment="1">
      <x:alignment horizontal="center"/>
    </x:xf>
    <x:xf numFmtId="0" fontId="8" fillId="10" borderId="36" xfId="0" applyNumberFormat="1" applyFont="1" applyFill="1" applyBorder="1" applyAlignment="1">
      <x:alignment horizontal="center"/>
    </x:xf>
    <x:xf numFmtId="0" fontId="8" fillId="10" borderId="37" xfId="0" applyNumberFormat="1" applyFont="1" applyFill="1" applyBorder="1" applyAlignment="1">
      <x:alignment horizontal="center"/>
    </x:xf>
    <x:xf numFmtId="0" fontId="8" fillId="10" borderId="34" xfId="0" applyNumberFormat="1" applyFont="1" applyFill="1" applyBorder="1" applyAlignment="1">
      <x:alignment horizontal="center" vertical="center"/>
    </x:xf>
    <x:xf numFmtId="0" fontId="8" fillId="10" borderId="35" xfId="0" applyNumberFormat="1" applyFont="1" applyFill="1" applyBorder="1" applyAlignment="1">
      <x:alignment horizontal="center" vertical="center"/>
    </x:xf>
    <x:xf numFmtId="0" fontId="8" fillId="10" borderId="36" xfId="0" applyNumberFormat="1" applyFont="1" applyFill="1" applyBorder="1" applyAlignment="1">
      <x:alignment horizontal="center" vertical="center"/>
    </x:xf>
    <x:xf numFmtId="0" fontId="8" fillId="10" borderId="37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38" xfId="0" applyNumberFormat="1" applyFont="1" applyFill="1" applyBorder="1"/>
    <x:xf numFmtId="0" fontId="8" fillId="10" borderId="39" xfId="0" applyNumberFormat="1" applyFont="1" applyFill="1" applyBorder="1"/>
    <x:xf numFmtId="0" fontId="8" fillId="10" borderId="40" xfId="0" applyNumberFormat="1" applyFont="1" applyFill="1" applyBorder="1"/>
    <x:xf numFmtId="0" fontId="8" fillId="10" borderId="41" xfId="0" applyNumberFormat="1" applyFont="1" applyFill="1" applyBorder="1"/>
    <x:xf numFmtId="0" fontId="8" fillId="10" borderId="38" xfId="0" applyNumberFormat="1" applyFont="1" applyFill="1" applyBorder="1" applyAlignment="1">
      <x:alignment horizontal="center"/>
    </x:xf>
    <x:xf numFmtId="0" fontId="8" fillId="10" borderId="39" xfId="0" applyNumberFormat="1" applyFont="1" applyFill="1" applyBorder="1" applyAlignment="1">
      <x:alignment horizontal="center"/>
    </x:xf>
    <x:xf numFmtId="0" fontId="8" fillId="10" borderId="40" xfId="0" applyNumberFormat="1" applyFont="1" applyFill="1" applyBorder="1" applyAlignment="1">
      <x:alignment horizontal="center"/>
    </x:xf>
    <x:xf numFmtId="0" fontId="8" fillId="10" borderId="41" xfId="0" applyNumberFormat="1" applyFont="1" applyFill="1" applyBorder="1" applyAlignment="1">
      <x:alignment horizontal="center"/>
    </x:xf>
    <x:xf numFmtId="0" fontId="8" fillId="10" borderId="38" xfId="0" applyNumberFormat="1" applyFont="1" applyFill="1" applyBorder="1" applyAlignment="1">
      <x:alignment horizontal="center" vertical="center"/>
    </x:xf>
    <x:xf numFmtId="0" fontId="8" fillId="10" borderId="39" xfId="0" applyNumberFormat="1" applyFont="1" applyFill="1" applyBorder="1" applyAlignment="1">
      <x:alignment horizontal="center" vertical="center"/>
    </x:xf>
    <x:xf numFmtId="0" fontId="8" fillId="10" borderId="40" xfId="0" applyNumberFormat="1" applyFont="1" applyFill="1" applyBorder="1" applyAlignment="1">
      <x:alignment horizontal="center" vertical="center"/>
    </x:xf>
    <x:xf numFmtId="0" fontId="8" fillId="10" borderId="41" xfId="0" applyNumberFormat="1" applyFont="1" applyFill="1" applyBorder="1" applyAlignment="1">
      <x:alignment horizontal="center" vertical="center"/>
    </x:xf>
    <x:xf numFmtId="0" fontId="7" fillId="10" borderId="36" xfId="0" applyNumberFormat="1" applyFont="1" applyFill="1" applyBorder="1" applyAlignment="1">
      <x:alignment horizontal="center" vertical="center"/>
    </x:xf>
    <x:xf numFmtId="0" fontId="7" fillId="10" borderId="40" xfId="0" applyNumberFormat="1" applyFont="1" applyFill="1" applyBorder="1" applyAlignment="1">
      <x:alignment horizontal="center" vertical="center"/>
    </x:xf>
    <x:xf numFmtId="202" fontId="7" fillId="10" borderId="36" xfId="0" applyNumberFormat="1" applyFont="1" applyFill="1" applyBorder="1" applyAlignment="1">
      <x:alignment horizontal="center" vertical="center"/>
    </x:xf>
    <x:xf numFmtId="202" fontId="8" fillId="10" borderId="37" xfId="0" applyNumberFormat="1" applyFont="1" applyFill="1" applyBorder="1" applyAlignment="1">
      <x:alignment horizontal="center" vertical="center"/>
    </x:xf>
    <x:xf numFmtId="202" fontId="7" fillId="10" borderId="40" xfId="0" applyNumberFormat="1" applyFont="1" applyFill="1" applyBorder="1" applyAlignment="1">
      <x:alignment horizontal="center" vertical="center"/>
    </x:xf>
    <x:xf numFmtId="202" fontId="8" fillId="10" borderId="4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/>
    <x:xf numFmtId="0" fontId="10" fillId="3" borderId="1" xfId="0" applyNumberFormat="1" applyFont="1" applyFill="1" applyBorder="1"/>
    <x:xf numFmtId="0" fontId="0" fillId="0" borderId="0" xfId="0" applyNumberFormat="1" applyFont="1" applyFill="1" applyBorder="1"/>
    <x:xf numFmtId="0" fontId="10" fillId="3" borderId="2" xfId="0" applyNumberFormat="1" applyFont="1" applyFill="1" applyBorder="1"/>
    <x:xf numFmtId="0" fontId="0" fillId="0" borderId="2" xfId="0" applyNumberFormat="1" applyFont="1" applyFill="1" applyBorder="1"/>
    <x:xf numFmtId="0" fontId="10" fillId="3" borderId="3" xfId="0" applyNumberFormat="1" applyFont="1" applyFill="1" applyBorder="1"/>
    <x:xf numFmtId="0" fontId="0" fillId="0" borderId="3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6" fillId="7" borderId="2" xfId="0" applyNumberFormat="1" applyFont="1" applyFill="1" applyBorder="1" applyAlignment="1">
      <x:alignment horizontal="left" vertical="center" wrapText="1"/>
    </x:xf>
    <x:xf numFmtId="201" fontId="6" fillId="0" borderId="0" xfId="0" applyNumberFormat="1" applyFont="1" applyFill="1" applyBorder="1" applyAlignment="1">
      <x:alignment horizontal="center" vertical="center" wrapText="1"/>
    </x:xf>
    <x:xf numFmtId="201" fontId="6" fillId="7" borderId="0" xfId="0" applyNumberFormat="1" applyFont="1" applyFill="1" applyBorder="1" applyAlignment="1">
      <x:alignment horizontal="center" vertical="center" wrapText="1"/>
    </x:xf>
    <x:xf numFmtId="201" fontId="6" fillId="7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6" fillId="0" borderId="2" xfId="0" applyNumberFormat="1" applyFont="1" applyFill="1" applyBorder="1" applyAlignment="1">
      <x:alignment horizontal="left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/>
    </x:xf>
    <x:xf numFmtId="0" fontId="6" fillId="0" borderId="2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10" fillId="3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6" fillId="7" borderId="0" xfId="0" applyNumberFormat="1" applyFont="1" applyFill="1" applyBorder="1" applyAlignment="1">
      <x:alignment horizontal="left" vertical="top" wrapText="1"/>
    </x:xf>
    <x:xf numFmtId="0" fontId="6" fillId="7" borderId="2" xfId="0" applyNumberFormat="1" applyFont="1" applyFill="1" applyBorder="1" applyAlignment="1">
      <x:alignment horizontal="left" vertical="top" wrapText="1"/>
    </x:xf>
    <x:xf numFmtId="0" fontId="10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0" fillId="3" borderId="2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8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95C4F"/>
      </x:font>
      <x:fill>
        <x:patternFill>
          <x:bgColor rgb="FFDCEFE8"/>
        </x:patternFill>
      </x:fill>
    </x:dxf>
    <x:dxf>
      <x:font>
        <x:b/>
        <x:color rgb="FF842929"/>
      </x:font>
      <x:fill>
        <x:patternFill>
          <x:bgColor rgb="FFF5DEDE"/>
        </x:patternFill>
      </x:fill>
    </x:dxf>
    <x:dxf>
      <x:font>
        <x:b/>
        <x:color rgb="FF85580D"/>
      </x:font>
      <x:fill>
        <x:patternFill>
          <x:bgColor rgb="FFF8EB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69725b39248fc" /><Relationship Type="http://schemas.openxmlformats.org/officeDocument/2006/relationships/theme" Target="/xl/theme/theme1.xml" Id="R51b8bc9130d841f7" /><Relationship Type="http://schemas.openxmlformats.org/officeDocument/2006/relationships/sharedStrings" Target="/xl/sharedStrings.xml" Id="R42c783a05a164649" /><Relationship Type="http://schemas.openxmlformats.org/officeDocument/2006/relationships/worksheet" Target="/xl/worksheets/sheet1.xml" Id="R1fd4c5e8adf340da" /><Relationship Type="http://schemas.openxmlformats.org/officeDocument/2006/relationships/worksheet" Target="/xl/worksheets/sheet2.xml" Id="R6c62789af845409e" /><Relationship Type="http://schemas.openxmlformats.org/officeDocument/2006/relationships/worksheet" Target="/xl/worksheets/sheet3.xml" Id="Rbd67163536404fdd" /><Relationship Type="http://schemas.openxmlformats.org/officeDocument/2006/relationships/worksheet" Target="/xl/worksheets/sheet4.xml" Id="R84233c4625b847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b16a5903f945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Resultados consolidados por competência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Consolidadas</c:v>
          </c:tx>
          <c:cat>
            <c:strRef>
              <c:f>'SINTESE'!$A$11:$A$12</c:f>
              <c:strCache>
                <c:ptCount val="0"/>
              </c:strCache>
            </c:strRef>
          </c:cat>
          <c:val>
            <c:numRef>
              <c:f>'SINTESE'!$B$11:$B$12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Aptas</c:v>
          </c:tx>
          <c:cat>
            <c:strRef>
              <c:f>'SINTESE'!$A$11:$A$12</c:f>
              <c:strCache>
                <c:ptCount val="0"/>
              </c:strCache>
            </c:strRef>
          </c:cat>
          <c:val>
            <c:numRef>
              <c:f>'SINTESE'!$C$11:$C$12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Inaptas</c:v>
          </c:tx>
          <c:cat>
            <c:strRef>
              <c:f>'SINTESE'!$A$11:$A$12</c:f>
              <c:strCache>
                <c:ptCount val="0"/>
              </c:strCache>
            </c:strRef>
          </c:cat>
          <c:val>
            <c:numRef>
              <c:f>'SINTESE'!$D$11:$D$12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b16a5903f945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nificacoesConsolidadasTable" displayName="BonificacoesConsolidadasTable" ref="A8:L14" headerRowCount="1">
  <x:tableColumns count="12">
    <x:tableColumn id="1" name="INEP"/>
    <x:tableColumn id="2" name="Denominação"/>
    <x:tableColumn id="3" name="Designação"/>
    <x:tableColumn id="4" name="Competência"/>
    <x:tableColumn id="5" name="Programa"/>
    <x:tableColumn id="6" name="Conta corrente"/>
    <x:tableColumn id="7" name="Investimento"/>
    <x:tableColumn id="8" name="Nota fiscal"/>
    <x:tableColumn id="9" name="Assessoria"/>
    <x:tableColumn id="10" name="BB Ágil"/>
    <x:tableColumn id="11" name="Encaminhado ao inventário"/>
    <x:tableColumn id="12" name="Status da bonificação"/>
  </x:tableColumns>
  <x:tableStyleInfo name="TableStyleMedium2" showRowStripes="1"/>
</x:table>
</file>

<file path=xl/tables/table2.xml><?xml version="1.0" encoding="utf-8"?>
<x:table xmlns:x="http://schemas.openxmlformats.org/spreadsheetml/2006/main" id="2" name="QualidadeDadosTable" displayName="QualidadeDadosTable" ref="A5:H11" headerRowCount="1">
  <x:tableColumns count="8">
    <x:tableColumn id="1" name="Linha na base"/>
    <x:tableColumn id="2" name="INEP"/>
    <x:tableColumn id="3" name="Designação"/>
    <x:tableColumn id="4" name="Competência"/>
    <x:tableColumn id="5" name="Programa"/>
    <x:tableColumn id="6" name="Campos ausentes"/>
    <x:tableColumn id="7" name="Detalhamento"/>
    <x:tableColumn id="8" name="Situ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a1be8c3aa64f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c8418c910b849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2218f3b8df417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4" hidden="0" customWidth="1"/>
    <x:col min="4" max="4" width="13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0" hidden="0" customWidth="1"/>
    <x:col min="12" max="12" width="21" hidden="0" customWidth="1"/>
  </x:cols>
  <x:sheetData>
    <x:row r="1" ht="30" customHeight="1">
      <x:c r="A1" s="4" t="str">
        <x:v>RADAR PDDE — BONIFICAÇÕES CONSOLIDADAS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11" t="str">
        <x:v>Aba principal: preserva integralmente o escopo do relatório CSV original — uma linha por escola, competência e programa, somente após consolidação.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8" t="str">
        <x:v>DATA DE GERAÇÃO</x:v>
      </x:c>
      <x:c r="B4" s="18" t="str"/>
      <x:c r="C4" s="18" t="str">
        <x:v>ESCOPO TEMPORAL</x:v>
      </x:c>
      <x:c r="D4" s="18" t="str"/>
      <x:c r="E4" s="18" t="str">
        <x:v>REGRA DE INCLUSÃO</x:v>
      </x:c>
      <x:c r="F4" s="18" t="str"/>
      <x:c r="G4" s="18" t="str">
        <x:v>NATUREZA</x:v>
      </x:c>
      <x:c r="H4" s="18" t="str"/>
    </x:row>
    <x:row r="5">
      <x:c r="A5" s="30" t="n">
        <x:v>46213.19517363426</x:v>
      </x:c>
      <x:c r="B5" s="30" t="str"/>
      <x:c r="C5" s="25" t="str">
        <x:v>Todas as competências</x:v>
      </x:c>
      <x:c r="D5" s="25" t="str"/>
      <x:c r="E5" s="25" t="str">
        <x:v>Bonificação consolidada</x:v>
      </x:c>
      <x:c r="F5" s="25" t="str"/>
      <x:c r="G5" s="25" t="str">
        <x:v>Dados demonstrativos</x:v>
      </x:c>
      <x:c r="H5" s="25" t="str"/>
    </x:row>
    <x:row r="8" ht="34" customHeight="1">
      <x:c r="A8" s="43" t="str">
        <x:v>INEP</x:v>
      </x:c>
      <x:c r="B8" s="234" t="str">
        <x:v>Denominação</x:v>
      </x:c>
      <x:c r="C8" s="44" t="str">
        <x:v>Designação</x:v>
      </x:c>
      <x:c r="D8" s="44" t="str">
        <x:v>Competência</x:v>
      </x:c>
      <x:c r="E8" s="234" t="str">
        <x:v>Programa</x:v>
      </x:c>
      <x:c r="F8" s="44" t="str">
        <x:v>Conta corrente</x:v>
      </x:c>
      <x:c r="G8" s="44" t="str">
        <x:v>Investimento</x:v>
      </x:c>
      <x:c r="H8" s="44" t="str">
        <x:v>Nota fiscal</x:v>
      </x:c>
      <x:c r="I8" s="44" t="str">
        <x:v>Assessoria</x:v>
      </x:c>
      <x:c r="J8" s="44" t="str">
        <x:v>BB Ágil</x:v>
      </x:c>
      <x:c r="K8" s="44" t="str">
        <x:v>Encaminhado ao inventário</x:v>
      </x:c>
      <x:c r="L8" s="45" t="str">
        <x:v>Status da bonificação</x:v>
      </x:c>
    </x:row>
    <x:row r="9" ht="32" customHeight="1">
      <x:c r="A9" s="238" t="str">
        <x:v>33070440</x:v>
      </x:c>
      <x:c r="B9" s="235" t="str">
        <x:v>Escola Municipal Ary Barroso</x:v>
      </x:c>
      <x:c r="C9" s="238" t="str">
        <x:v>04.31.001</x:v>
      </x:c>
      <x:c r="D9" s="238" t="str">
        <x:v>01-2026</x:v>
      </x:c>
      <x:c r="E9" s="235" t="str">
        <x:v>PDDE Básico</x:v>
      </x:c>
      <x:c r="F9" s="241" t="str">
        <x:v>Sim</x:v>
      </x:c>
      <x:c r="G9" s="241" t="str">
        <x:v>Sim</x:v>
      </x:c>
      <x:c r="H9" s="241" t="str">
        <x:v>Não se aplica</x:v>
      </x:c>
      <x:c r="I9" s="241" t="str">
        <x:v>Não se aplica</x:v>
      </x:c>
      <x:c r="J9" s="241" t="str">
        <x:v>Sim</x:v>
      </x:c>
      <x:c r="K9" s="241" t="str">
        <x:v>Não se aplica</x:v>
      </x:c>
      <x:c r="L9" s="241" t="str">
        <x:v>APTA</x:v>
      </x:c>
    </x:row>
    <x:row r="10" ht="32" customHeight="1">
      <x:c r="A10" s="239" t="str">
        <x:v>33070440</x:v>
      </x:c>
      <x:c r="B10" s="236" t="str">
        <x:v>Escola Municipal Ary Barroso</x:v>
      </x:c>
      <x:c r="C10" s="239" t="str">
        <x:v>04.31.001</x:v>
      </x:c>
      <x:c r="D10" s="239" t="str">
        <x:v>01-2026</x:v>
      </x:c>
      <x:c r="E10" s="236" t="str">
        <x:v>Educação Conectada</x:v>
      </x:c>
      <x:c r="F10" s="242" t="str">
        <x:v>Sim</x:v>
      </x:c>
      <x:c r="G10" s="242" t="str">
        <x:v>Não</x:v>
      </x:c>
      <x:c r="H10" s="242" t="str">
        <x:v>Sim</x:v>
      </x:c>
      <x:c r="I10" s="242" t="str">
        <x:v>Não se aplica</x:v>
      </x:c>
      <x:c r="J10" s="242" t="str">
        <x:v>Sim</x:v>
      </x:c>
      <x:c r="K10" s="242" t="str">
        <x:v>-</x:v>
      </x:c>
      <x:c r="L10" s="242" t="str">
        <x:v>INAPTA</x:v>
      </x:c>
    </x:row>
    <x:row r="11" ht="32" customHeight="1">
      <x:c r="A11" s="238" t="str">
        <x:v>33070539</x:v>
      </x:c>
      <x:c r="B11" s="235" t="str">
        <x:v>Escola Municipal David Perez</x:v>
      </x:c>
      <x:c r="C11" s="238" t="str">
        <x:v>04.31.002</x:v>
      </x:c>
      <x:c r="D11" s="238" t="str">
        <x:v>01-2026</x:v>
      </x:c>
      <x:c r="E11" s="235" t="str">
        <x:v>PDDE Básico</x:v>
      </x:c>
      <x:c r="F11" s="241" t="str">
        <x:v>Sim</x:v>
      </x:c>
      <x:c r="G11" s="241" t="str">
        <x:v>Sim</x:v>
      </x:c>
      <x:c r="H11" s="241" t="str">
        <x:v>Sim</x:v>
      </x:c>
      <x:c r="I11" s="241" t="str">
        <x:v>Não se aplica</x:v>
      </x:c>
      <x:c r="J11" s="241" t="str">
        <x:v>Sim</x:v>
      </x:c>
      <x:c r="K11" s="241" t="str">
        <x:v>Sim</x:v>
      </x:c>
      <x:c r="L11" s="241" t="str">
        <x:v>APTA</x:v>
      </x:c>
    </x:row>
    <x:row r="12" ht="32" customHeight="1">
      <x:c r="A12" s="239" t="str">
        <x:v>33070687</x:v>
      </x:c>
      <x:c r="B12" s="236" t="str">
        <x:v>Escola Municipal Miguel Gustavo</x:v>
      </x:c>
      <x:c r="C12" s="239" t="str">
        <x:v>04.31.003</x:v>
      </x:c>
      <x:c r="D12" s="239" t="str">
        <x:v>02-2026</x:v>
      </x:c>
      <x:c r="E12" s="236" t="str">
        <x:v>PDDE Básico</x:v>
      </x:c>
      <x:c r="F12" s="242" t="str">
        <x:v>Sim</x:v>
      </x:c>
      <x:c r="G12" s="242" t="str">
        <x:v>Sim</x:v>
      </x:c>
      <x:c r="H12" s="242" t="str">
        <x:v>Sim</x:v>
      </x:c>
      <x:c r="I12" s="242" t="str">
        <x:v>Não se aplica</x:v>
      </x:c>
      <x:c r="J12" s="242" t="str">
        <x:v>Sim</x:v>
      </x:c>
      <x:c r="K12" s="242" t="str">
        <x:v>Sim</x:v>
      </x:c>
      <x:c r="L12" s="242" t="str">
        <x:v>APTA</x:v>
      </x:c>
    </x:row>
    <x:row r="13" ht="32" customHeight="1">
      <x:c r="A13" s="238" t="str">
        <x:v>33070687</x:v>
      </x:c>
      <x:c r="B13" s="235" t="str">
        <x:v>Escola Municipal Miguel Gustavo</x:v>
      </x:c>
      <x:c r="C13" s="238" t="str">
        <x:v>04.31.003</x:v>
      </x:c>
      <x:c r="D13" s="238" t="str">
        <x:v>02-2026</x:v>
      </x:c>
      <x:c r="E13" s="235" t="str">
        <x:v>Educação Conectada</x:v>
      </x:c>
      <x:c r="F13" s="241" t="str">
        <x:v>Sim</x:v>
      </x:c>
      <x:c r="G13" s="241" t="str">
        <x:v>Não</x:v>
      </x:c>
      <x:c r="H13" s="241" t="str">
        <x:v>Sim</x:v>
      </x:c>
      <x:c r="I13" s="241" t="str">
        <x:v>Não se aplica</x:v>
      </x:c>
      <x:c r="J13" s="241" t="str">
        <x:v>Sim</x:v>
      </x:c>
      <x:c r="K13" s="241" t="str">
        <x:v>-</x:v>
      </x:c>
      <x:c r="L13" s="241" t="str">
        <x:v>INAPTA</x:v>
      </x:c>
    </x:row>
    <x:row r="14" ht="32" customHeight="1">
      <x:c r="A14" s="240" t="str">
        <x:v>33070393</x:v>
      </x:c>
      <x:c r="B14" s="237" t="str">
        <x:v>Escola Municipal Alfredo Gomes</x:v>
      </x:c>
      <x:c r="C14" s="240" t="str">
        <x:v>04.31.004</x:v>
      </x:c>
      <x:c r="D14" s="240" t="str">
        <x:v>02-2026</x:v>
      </x:c>
      <x:c r="E14" s="237" t="str">
        <x:v>PDDE Básico</x:v>
      </x:c>
      <x:c r="F14" s="243" t="str">
        <x:v>Sim</x:v>
      </x:c>
      <x:c r="G14" s="243" t="str">
        <x:v>Sim</x:v>
      </x:c>
      <x:c r="H14" s="243" t="str">
        <x:v>Não se aplica</x:v>
      </x:c>
      <x:c r="I14" s="243" t="str">
        <x:v>Não se aplica</x:v>
      </x:c>
      <x:c r="J14" s="243" t="str">
        <x:v>Sim</x:v>
      </x:c>
      <x:c r="K14" s="243" t="str">
        <x:v>Não se aplica</x:v>
      </x:c>
      <x:c r="L14" s="243" t="str">
        <x:v>APTA</x:v>
      </x:c>
    </x:row>
  </x:sheetData>
  <x:mergeCells>
    <x:mergeCell ref="A1:L1"/>
    <x:mergeCell ref="A2:L2"/>
    <x:mergeCell ref="A4:B4"/>
    <x:mergeCell ref="C4:D4"/>
    <x:mergeCell ref="E4:F4"/>
    <x:mergeCell ref="G4:H4"/>
    <x:mergeCell ref="A5:B5"/>
    <x:mergeCell ref="C5:D5"/>
    <x:mergeCell ref="E5:F5"/>
    <x:mergeCell ref="G5:H5"/>
  </x:mergeCells>
  <x:conditionalFormatting sqref="L9:L14">
    <x:cfRule type="expression" dxfId="0" priority="1">
      <x:formula>L9="APTA"</x:formula>
    </x:cfRule>
    <x:cfRule type="expression" dxfId="1" priority="2">
      <x:formula>L9="INAPTA"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a1be8c3aa64f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83" t="str">
        <x:v>SÍNTESE OPCIONAL — BONIFICAÇÕES CONSOLIDADAS</x:v>
      </x:c>
      <x:c r="B1" s="83"/>
      <x:c r="C1" s="83"/>
      <x:c r="D1" s="83"/>
      <x:c r="E1" s="83"/>
      <x:c r="F1" s="83"/>
      <x:c r="G1" s="83"/>
      <x:c r="H1" s="83"/>
    </x:row>
    <x:row r="2">
      <x:c r="A2" s="10" t="str">
        <x:v>Análises derivadas exclusivamente da aba BONIFICACOES. Esta aba não altera nem reduz o relatório principal.</x:v>
      </x:c>
      <x:c r="B2" s="10"/>
      <x:c r="C2" s="10"/>
      <x:c r="D2" s="10"/>
      <x:c r="E2" s="10"/>
      <x:c r="F2" s="10"/>
      <x:c r="G2" s="10"/>
      <x:c r="H2" s="10"/>
    </x:row>
    <x:row r="5">
      <x:c r="A5" s="95" t="str">
        <x:v>LINHAS CONSOLIDADAS</x:v>
      </x:c>
      <x:c r="B5" s="96"/>
      <x:c r="C5" s="124" t="str">
        <x:v>APTAS</x:v>
      </x:c>
      <x:c r="D5" s="125"/>
      <x:c r="E5" s="154" t="str">
        <x:v>INAPTAS</x:v>
      </x:c>
      <x:c r="F5" s="155"/>
      <x:c r="G5" s="184" t="str">
        <x:v>TAXA DE APTIDÃO</x:v>
      </x:c>
      <x:c r="H5" s="185"/>
    </x:row>
    <x:row r="6">
      <x:c r="A6" s="112" t="n">
        <x:f>COUNTA(BONIFICACOES!A9:A14)</x:f>
        <x:v>6</x:v>
      </x:c>
      <x:c r="B6" s="98"/>
      <x:c r="C6" s="142" t="n">
        <x:f>COUNTIF(BONIFICACOES!L9:L14,"APTA")</x:f>
        <x:v>4</x:v>
      </x:c>
      <x:c r="D6" s="127"/>
      <x:c r="E6" s="172" t="n">
        <x:f>COUNTIF(BONIFICACOES!L9:L14,"INAPTA")</x:f>
        <x:v>2</x:v>
      </x:c>
      <x:c r="F6" s="157"/>
      <x:c r="G6" s="204" t="n">
        <x:f>IFERROR(COUNTIF(BONIFICACOES!L9:L14,"APTA")/COUNTA(BONIFICACOES!A9:A14),0)</x:f>
        <x:v>0.6666666666666666</x:v>
      </x:c>
      <x:c r="H6" s="205"/>
    </x:row>
    <x:row r="10">
      <x:c r="A10" s="258" t="str">
        <x:v>Competência</x:v>
      </x:c>
      <x:c r="B10" s="258" t="str">
        <x:v>Consolidadas</x:v>
      </x:c>
      <x:c r="C10" s="258" t="str">
        <x:v>Aptas</x:v>
      </x:c>
      <x:c r="D10" s="258" t="str">
        <x:v>Inaptas</x:v>
      </x:c>
      <x:c r="E10" s="259"/>
      <x:c r="F10" s="260" t="str">
        <x:v>Programa</x:v>
      </x:c>
      <x:c r="G10" s="258" t="str">
        <x:v>Consolidadas</x:v>
      </x:c>
      <x:c r="H10" s="258" t="str">
        <x:v>Aptas</x:v>
      </x:c>
      <x:c r="I10" s="258" t="str">
        <x:v>Inaptas</x:v>
      </x:c>
    </x:row>
    <x:row r="11">
      <x:c r="A11" s="261" t="str">
        <x:v>01-2026</x:v>
      </x:c>
      <x:c r="B11" s="261" t="n">
        <x:f>COUNTIF(BONIFICACOES!$D$9:$D$14,A11)</x:f>
        <x:v>3</x:v>
      </x:c>
      <x:c r="C11" s="261" t="n">
        <x:f>COUNTIFS(BONIFICACOES!$D$9:$D$14,A11,BONIFICACOES!$L$9:$L$14,"APTA")</x:f>
        <x:v>2</x:v>
      </x:c>
      <x:c r="D11" s="261" t="n">
        <x:f>COUNTIFS(BONIFICACOES!$D$9:$D$14,A11,BONIFICACOES!$L$9:$L$14,"INAPTA")</x:f>
        <x:v>1</x:v>
      </x:c>
      <x:c r="E11" s="259"/>
      <x:c r="F11" s="262" t="str">
        <x:v>PDDE Básico</x:v>
      </x:c>
      <x:c r="G11" s="261" t="n">
        <x:f>COUNTIF(BONIFICACOES!$E$9:$E$14,F11)</x:f>
        <x:v>4</x:v>
      </x:c>
      <x:c r="H11" s="261" t="n">
        <x:f>COUNTIFS(BONIFICACOES!$E$9:$E$14,F11,BONIFICACOES!$L$9:$L$14,"APTA")</x:f>
        <x:v>4</x:v>
      </x:c>
      <x:c r="I11" s="261" t="n">
        <x:f>COUNTIFS(BONIFICACOES!$E$9:$E$14,F11,BONIFICACOES!$L$9:$L$14,"INAPTA")</x:f>
        <x:v>0</x:v>
      </x:c>
    </x:row>
    <x:row r="12">
      <x:c r="A12" s="263" t="str">
        <x:v>02-2026</x:v>
      </x:c>
      <x:c r="B12" s="263" t="n">
        <x:f>COUNTIF(BONIFICACOES!$D$9:$D$14,A12)</x:f>
        <x:v>3</x:v>
      </x:c>
      <x:c r="C12" s="263" t="n">
        <x:f>COUNTIFS(BONIFICACOES!$D$9:$D$14,A12,BONIFICACOES!$L$9:$L$14,"APTA")</x:f>
        <x:v>2</x:v>
      </x:c>
      <x:c r="D12" s="263" t="n">
        <x:f>COUNTIFS(BONIFICACOES!$D$9:$D$14,A12,BONIFICACOES!$L$9:$L$14,"INAPTA")</x:f>
        <x:v>1</x:v>
      </x:c>
      <x:c r="E12" s="259"/>
      <x:c r="F12" s="264" t="str">
        <x:v>Educação Conectada</x:v>
      </x:c>
      <x:c r="G12" s="263" t="n">
        <x:f>COUNTIF(BONIFICACOES!$E$9:$E$14,F12)</x:f>
        <x:v>2</x:v>
      </x:c>
      <x:c r="H12" s="263" t="n">
        <x:f>COUNTIFS(BONIFICACOES!$E$9:$E$14,F12,BONIFICACOES!$L$9:$L$14,"APTA")</x:f>
        <x:v>0</x:v>
      </x:c>
      <x:c r="I12" s="263" t="n">
        <x:f>COUNTIFS(BONIFICACOES!$E$9:$E$14,F12,BONIFICACOES!$L$9:$L$14,"INAPTA")</x:f>
        <x:v>2</x:v>
      </x:c>
    </x:row>
  </x:sheetData>
  <x:mergeCells>
    <x:mergeCell ref="A1:H1"/>
    <x:mergeCell ref="A2:H2"/>
    <x:mergeCell ref="A5:B5"/>
    <x:mergeCell ref="A6:B6"/>
    <x:mergeCell ref="C5:D5"/>
    <x:mergeCell ref="C6:D6"/>
    <x:mergeCell ref="E5:F5"/>
    <x:mergeCell ref="E6:F6"/>
    <x:mergeCell ref="G5:H5"/>
    <x:mergeCell ref="G6:H6"/>
  </x:mergeCells>
  <x:pageMargins left="0.7" right="0.7" top="0.75" bottom="0.75" header="0.3" footer="0.3"/>
  <x:drawing xmlns:r="http://schemas.openxmlformats.org/officeDocument/2006/relationships" r:id="Rfc8418c910b849af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4" hidden="0" customWidth="1"/>
    <x:col min="5" max="5" width="26" hidden="0" customWidth="1"/>
    <x:col min="6" max="6" width="17" hidden="0" customWidth="1"/>
    <x:col min="7" max="7" width="40" hidden="0" customWidth="1"/>
    <x:col min="8" max="8" width="15" hidden="0" customWidth="1"/>
  </x:cols>
  <x:sheetData>
    <x:row r="1">
      <x:c r="A1" s="82" t="str">
        <x:v>QUALIDADE DOS DADOS — VERIFICAÇÃO OPCIONAL</x:v>
      </x:c>
      <x:c r="B1" s="82"/>
      <x:c r="C1" s="82"/>
      <x:c r="D1" s="82"/>
      <x:c r="E1" s="82"/>
      <x:c r="F1" s="82"/>
      <x:c r="G1" s="82"/>
      <x:c r="H1" s="82"/>
    </x:row>
    <x:row r="2">
      <x:c r="A2" s="211" t="str">
        <x:v>Aba auxiliar para localizar campos vazios ou substituídos por traço na base exportada.</x:v>
      </x:c>
      <x:c r="B2" s="211"/>
      <x:c r="C2" s="211"/>
      <x:c r="D2" s="211"/>
      <x:c r="E2" s="211"/>
      <x:c r="F2" s="211"/>
      <x:c r="G2" s="211"/>
      <x:c r="H2" s="211"/>
    </x:row>
    <x:row r="5">
      <x:c r="A5" s="249" t="str">
        <x:v>Linha na base</x:v>
      </x:c>
      <x:c r="B5" s="249" t="str">
        <x:v>INEP</x:v>
      </x:c>
      <x:c r="C5" s="249" t="str">
        <x:v>Designação</x:v>
      </x:c>
      <x:c r="D5" s="249" t="str">
        <x:v>Competência</x:v>
      </x:c>
      <x:c r="E5" s="250" t="str">
        <x:v>Programa</x:v>
      </x:c>
      <x:c r="F5" s="249" t="str">
        <x:v>Campos ausentes</x:v>
      </x:c>
      <x:c r="G5" s="250" t="str">
        <x:v>Detalhamento</x:v>
      </x:c>
      <x:c r="H5" s="249" t="str">
        <x:v>Situação</x:v>
      </x:c>
    </x:row>
    <x:row r="6" ht="27" customHeight="1">
      <x:c r="A6" s="241" t="n">
        <x:v>9</x:v>
      </x:c>
      <x:c r="B6" s="241" t="str">
        <x:v>33070440</x:v>
      </x:c>
      <x:c r="C6" s="241" t="str">
        <x:v>04.31.001</x:v>
      </x:c>
      <x:c r="D6" s="241" t="str">
        <x:v>01-2026</x:v>
      </x:c>
      <x:c r="E6" s="235" t="str">
        <x:v>PDDE Básico</x:v>
      </x:c>
      <x:c r="F6" s="241" t="n">
        <x:v>0</x:v>
      </x:c>
      <x:c r="G6" s="235" t="str"/>
      <x:c r="H6" s="241" t="str">
        <x:v>Completa</x:v>
      </x:c>
    </x:row>
    <x:row r="7" ht="27" customHeight="1">
      <x:c r="A7" s="241" t="n">
        <x:v>10</x:v>
      </x:c>
      <x:c r="B7" s="241" t="str">
        <x:v>33070440</x:v>
      </x:c>
      <x:c r="C7" s="241" t="str">
        <x:v>04.31.001</x:v>
      </x:c>
      <x:c r="D7" s="241" t="str">
        <x:v>01-2026</x:v>
      </x:c>
      <x:c r="E7" s="235" t="str">
        <x:v>Educação Conectada</x:v>
      </x:c>
      <x:c r="F7" s="241" t="n">
        <x:v>1</x:v>
      </x:c>
      <x:c r="G7" s="235" t="str">
        <x:v>Encaminhado ao inventário</x:v>
      </x:c>
      <x:c r="H7" s="241" t="str">
        <x:v>Revisar</x:v>
      </x:c>
    </x:row>
    <x:row r="8" ht="27" customHeight="1">
      <x:c r="A8" s="241" t="n">
        <x:v>11</x:v>
      </x:c>
      <x:c r="B8" s="241" t="str">
        <x:v>33070539</x:v>
      </x:c>
      <x:c r="C8" s="241" t="str">
        <x:v>04.31.002</x:v>
      </x:c>
      <x:c r="D8" s="241" t="str">
        <x:v>01-2026</x:v>
      </x:c>
      <x:c r="E8" s="235" t="str">
        <x:v>PDDE Básico</x:v>
      </x:c>
      <x:c r="F8" s="241" t="n">
        <x:v>0</x:v>
      </x:c>
      <x:c r="G8" s="235" t="str"/>
      <x:c r="H8" s="241" t="str">
        <x:v>Completa</x:v>
      </x:c>
    </x:row>
    <x:row r="9" ht="27" customHeight="1">
      <x:c r="A9" s="241" t="n">
        <x:v>12</x:v>
      </x:c>
      <x:c r="B9" s="241" t="str">
        <x:v>33070687</x:v>
      </x:c>
      <x:c r="C9" s="241" t="str">
        <x:v>04.31.003</x:v>
      </x:c>
      <x:c r="D9" s="241" t="str">
        <x:v>02-2026</x:v>
      </x:c>
      <x:c r="E9" s="235" t="str">
        <x:v>PDDE Básico</x:v>
      </x:c>
      <x:c r="F9" s="241" t="n">
        <x:v>0</x:v>
      </x:c>
      <x:c r="G9" s="235" t="str"/>
      <x:c r="H9" s="241" t="str">
        <x:v>Completa</x:v>
      </x:c>
    </x:row>
    <x:row r="10" ht="27" customHeight="1">
      <x:c r="A10" s="241" t="n">
        <x:v>13</x:v>
      </x:c>
      <x:c r="B10" s="241" t="str">
        <x:v>33070687</x:v>
      </x:c>
      <x:c r="C10" s="241" t="str">
        <x:v>04.31.003</x:v>
      </x:c>
      <x:c r="D10" s="241" t="str">
        <x:v>02-2026</x:v>
      </x:c>
      <x:c r="E10" s="235" t="str">
        <x:v>Educação Conectada</x:v>
      </x:c>
      <x:c r="F10" s="241" t="n">
        <x:v>1</x:v>
      </x:c>
      <x:c r="G10" s="235" t="str">
        <x:v>Encaminhado ao inventário</x:v>
      </x:c>
      <x:c r="H10" s="241" t="str">
        <x:v>Revisar</x:v>
      </x:c>
    </x:row>
    <x:row r="11" ht="27" customHeight="1">
      <x:c r="A11" s="251" t="n">
        <x:v>14</x:v>
      </x:c>
      <x:c r="B11" s="251" t="str">
        <x:v>33070393</x:v>
      </x:c>
      <x:c r="C11" s="251" t="str">
        <x:v>04.31.004</x:v>
      </x:c>
      <x:c r="D11" s="251" t="str">
        <x:v>02-2026</x:v>
      </x:c>
      <x:c r="E11" s="252" t="str">
        <x:v>PDDE Básico</x:v>
      </x:c>
      <x:c r="F11" s="251" t="n">
        <x:v>0</x:v>
      </x:c>
      <x:c r="G11" s="252" t="str"/>
      <x:c r="H11" s="251" t="str">
        <x:v>Completa</x:v>
      </x:c>
    </x:row>
  </x:sheetData>
  <x:mergeCells>
    <x:mergeCell ref="A1:H1"/>
    <x:mergeCell ref="A2:H2"/>
  </x:mergeCells>
  <x:conditionalFormatting sqref="H6:H11">
    <x:cfRule type="expression" dxfId="2" priority="1">
      <x:formula>H6="Revisar"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2218f3b8df41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2" hidden="0" customWidth="1"/>
    <x:col min="4" max="4" width="48" hidden="0" customWidth="1"/>
  </x:cols>
  <x:sheetData>
    <x:row r="1">
      <x:c r="A1" s="82" t="str">
        <x:v>METADADOS E CONTRATO DO RELATÓRIO</x:v>
      </x:c>
      <x:c r="B1" s="82"/>
      <x:c r="C1" s="82"/>
      <x:c r="D1" s="82"/>
    </x:row>
    <x:row r="3">
      <x:c r="A3" s="260" t="str">
        <x:v>Metadado</x:v>
      </x:c>
      <x:c r="B3" s="260" t="str">
        <x:v>Valor</x:v>
      </x:c>
      <x:c r="C3" s="259"/>
      <x:c r="D3" s="259"/>
    </x:row>
    <x:row r="4">
      <x:c r="A4" s="273" t="str">
        <x:v>Granularidade</x:v>
      </x:c>
      <x:c r="B4" s="274" t="str">
        <x:v>Uma linha por escola, competência e programa</x:v>
      </x:c>
      <x:c r="C4" s="259"/>
      <x:c r="D4" s="259"/>
    </x:row>
    <x:row r="5">
      <x:c r="A5" s="273" t="str">
        <x:v>Regra de inclusão</x:v>
      </x:c>
      <x:c r="B5" s="274" t="str">
        <x:v>Somente registros com bonificação consolidada</x:v>
      </x:c>
      <x:c r="C5" s="259"/>
      <x:c r="D5" s="259"/>
    </x:row>
    <x:row r="6">
      <x:c r="A6" s="273" t="str">
        <x:v>Escopo temporal</x:v>
      </x:c>
      <x:c r="B6" s="274" t="str">
        <x:v>Todas as competências disponíveis</x:v>
      </x:c>
      <x:c r="C6" s="259"/>
      <x:c r="D6" s="259"/>
    </x:row>
    <x:row r="7">
      <x:c r="A7" s="273" t="str">
        <x:v>Colunas da base</x:v>
      </x:c>
      <x:c r="B7" s="274" t="str">
        <x:v>12 campos preservados do CSV original</x:v>
      </x:c>
      <x:c r="C7" s="259"/>
      <x:c r="D7" s="259"/>
    </x:row>
    <x:row r="8">
      <x:c r="A8" s="273" t="str">
        <x:v>Formato de competência na base</x:v>
      </x:c>
      <x:c r="B8" s="274" t="str">
        <x:v>MM-AAAA, preservando o padrão legado</x:v>
      </x:c>
      <x:c r="C8" s="259"/>
      <x:c r="D8" s="259"/>
    </x:row>
    <x:row r="9">
      <x:c r="A9" s="275" t="str">
        <x:v>Natureza deste arquivo</x:v>
      </x:c>
      <x:c r="B9" s="276" t="str">
        <x:v>Protótipo editorial com dados demonstrativos</x:v>
      </x:c>
      <x:c r="C9" s="259"/>
      <x:c r="D9" s="259"/>
    </x:row>
    <x:row r="10">
      <x:c r="A10" s="259"/>
      <x:c r="B10" s="259"/>
      <x:c r="C10" s="259"/>
      <x:c r="D10" s="259"/>
    </x:row>
    <x:row r="11">
      <x:c r="A11" s="259"/>
      <x:c r="B11" s="259"/>
      <x:c r="C11" s="259"/>
      <x:c r="D11" s="259"/>
    </x:row>
    <x:row r="12">
      <x:c r="A12" s="277" t="str">
        <x:v>Campo original</x:v>
      </x:c>
      <x:c r="B12" s="277" t="str">
        <x:v>Rótulo aprimorado</x:v>
      </x:c>
      <x:c r="C12" s="277" t="str">
        <x:v>Origem</x:v>
      </x:c>
      <x:c r="D12" s="277" t="str">
        <x:v>Significado</x:v>
      </x:c>
    </x:row>
    <x:row r="13">
      <x:c r="A13" s="235" t="str">
        <x:v>INEP</x:v>
      </x:c>
      <x:c r="B13" s="235" t="str">
        <x:v>INEP</x:v>
      </x:c>
      <x:c r="C13" s="235" t="str">
        <x:v>Cadastro da escola</x:v>
      </x:c>
      <x:c r="D13" s="235" t="str">
        <x:v>Identificador da unidade no Censo Escolar</x:v>
      </x:c>
    </x:row>
    <x:row r="14">
      <x:c r="A14" s="236" t="str">
        <x:v>Denominacao</x:v>
      </x:c>
      <x:c r="B14" s="236" t="str">
        <x:v>Denominação</x:v>
      </x:c>
      <x:c r="C14" s="236" t="str">
        <x:v>Cadastro da escola</x:v>
      </x:c>
      <x:c r="D14" s="236" t="str">
        <x:v>Nome oficial da unidade</x:v>
      </x:c>
    </x:row>
    <x:row r="15">
      <x:c r="A15" s="235" t="str">
        <x:v>Designacao</x:v>
      </x:c>
      <x:c r="B15" s="235" t="str">
        <x:v>Designação</x:v>
      </x:c>
      <x:c r="C15" s="235" t="str">
        <x:v>Cadastro da escola</x:v>
      </x:c>
      <x:c r="D15" s="235" t="str">
        <x:v>Código administrativo da unidade</x:v>
      </x:c>
    </x:row>
    <x:row r="16">
      <x:c r="A16" s="236" t="str">
        <x:v>Competencia</x:v>
      </x:c>
      <x:c r="B16" s="236" t="str">
        <x:v>Competência</x:v>
      </x:c>
      <x:c r="C16" s="236" t="str">
        <x:v>Competência monitorada</x:v>
      </x:c>
      <x:c r="D16" s="236" t="str">
        <x:v>Mês e ano do resultado</x:v>
      </x:c>
    </x:row>
    <x:row r="17">
      <x:c r="A17" s="235" t="str">
        <x:v>Programa</x:v>
      </x:c>
      <x:c r="B17" s="235" t="str">
        <x:v>Programa</x:v>
      </x:c>
      <x:c r="C17" s="235" t="str">
        <x:v>Vínculo da escola</x:v>
      </x:c>
      <x:c r="D17" s="235" t="str">
        <x:v>Programa PDDE analisado</x:v>
      </x:c>
    </x:row>
    <x:row r="18">
      <x:c r="A18" s="236" t="str">
        <x:v>CC</x:v>
      </x:c>
      <x:c r="B18" s="236" t="str">
        <x:v>Conta corrente</x:v>
      </x:c>
      <x:c r="C18" s="236" t="str">
        <x:v>Bonificação</x:v>
      </x:c>
      <x:c r="D18" s="236" t="str">
        <x:v>Entrega/verificação do extrato de conta corrente</x:v>
      </x:c>
    </x:row>
    <x:row r="19">
      <x:c r="A19" s="235" t="str">
        <x:v>Investimento</x:v>
      </x:c>
      <x:c r="B19" s="235" t="str">
        <x:v>Investimento</x:v>
      </x:c>
      <x:c r="C19" s="235" t="str">
        <x:v>Bonificação</x:v>
      </x:c>
      <x:c r="D19" s="235" t="str">
        <x:v>Entrega/verificação do extrato de investimento</x:v>
      </x:c>
    </x:row>
    <x:row r="20">
      <x:c r="A20" s="236" t="str">
        <x:v>NF</x:v>
      </x:c>
      <x:c r="B20" s="236" t="str">
        <x:v>Nota fiscal</x:v>
      </x:c>
      <x:c r="C20" s="236" t="str">
        <x:v>Bonificação</x:v>
      </x:c>
      <x:c r="D20" s="236" t="str">
        <x:v>Entrega/verificação das notas fiscais</x:v>
      </x:c>
    </x:row>
    <x:row r="21">
      <x:c r="A21" s="235" t="str">
        <x:v>Assessoria</x:v>
      </x:c>
      <x:c r="B21" s="235" t="str">
        <x:v>Assessoria</x:v>
      </x:c>
      <x:c r="C21" s="235" t="str">
        <x:v>Bonificação</x:v>
      </x:c>
      <x:c r="D21" s="235" t="str">
        <x:v>Consulta à assessoria quando aplicável</x:v>
      </x:c>
    </x:row>
    <x:row r="22">
      <x:c r="A22" s="236" t="str">
        <x:v>BBAgil</x:v>
      </x:c>
      <x:c r="B22" s="236" t="str">
        <x:v>BB Ágil</x:v>
      </x:c>
      <x:c r="C22" s="236" t="str">
        <x:v>Bonificação</x:v>
      </x:c>
      <x:c r="D22" s="236" t="str">
        <x:v>Declaração do BB Ágil</x:v>
      </x:c>
    </x:row>
    <x:row r="23">
      <x:c r="A23" s="235" t="str">
        <x:v>EncaminhadoInventario</x:v>
      </x:c>
      <x:c r="B23" s="235" t="str">
        <x:v>Encaminhado ao inventário</x:v>
      </x:c>
      <x:c r="C23" s="235" t="str">
        <x:v>Bonificação</x:v>
      </x:c>
      <x:c r="D23" s="235" t="str">
        <x:v>Encaminhamento patrimonial quando aplicável</x:v>
      </x:c>
    </x:row>
    <x:row r="24">
      <x:c r="A24" s="237" t="str">
        <x:v>StatusBonificacao</x:v>
      </x:c>
      <x:c r="B24" s="237" t="str">
        <x:v>Status da bonificação</x:v>
      </x:c>
      <x:c r="C24" s="237" t="str">
        <x:v>Consolidação</x:v>
      </x:c>
      <x:c r="D24" s="237" t="str">
        <x:v>Resultado final APTA ou INAPTA</x:v>
      </x:c>
    </x:row>
  </x:sheetData>
  <x:mergeCells>
    <x:mergeCell ref="A1:D1"/>
  </x:mergeCells>
  <x:pageMargins left="0.7" right="0.7" top="0.75" bottom="0.75" header="0.3" footer="0.3"/>
</x:worksheet>
</file>